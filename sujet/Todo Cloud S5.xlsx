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groupe" sheetId="1" state="visible" r:id="rId1"/>
    <sheet xmlns:r="http://schemas.openxmlformats.org/officeDocument/2006/relationships" name="liste des taches" sheetId="2" state="visible" r:id="rId2"/>
    <sheet xmlns:r="http://schemas.openxmlformats.org/officeDocument/2006/relationships" name="Recap" sheetId="3" state="visible" r:id="rId3"/>
    <sheet xmlns:r="http://schemas.openxmlformats.org/officeDocument/2006/relationships" name="avancement" sheetId="4" state="visible" r:id="rId4"/>
    <sheet xmlns:r="http://schemas.openxmlformats.org/officeDocument/2006/relationships" name="detail_avancement" sheetId="5" state="visible" r:id="rId5"/>
    <sheet xmlns:r="http://schemas.openxmlformats.org/officeDocument/2006/relationships" name="TodoUpdated" sheetId="6" state="visible" r:id="rId6"/>
  </sheets>
  <definedNames/>
  <calcPr calcId="191029" fullCalcOnLoad="1"/>
  <pivotCaches>
    <pivotCache xmlns:r="http://schemas.openxmlformats.org/officeDocument/2006/relationships" cacheId="3" r:id="rId7"/>
  </pivotCaches>
</workbook>
</file>

<file path=xl/styles.xml><?xml version="1.0" encoding="utf-8"?>
<styleSheet xmlns="http://schemas.openxmlformats.org/spreadsheetml/2006/main">
  <numFmts count="1">
    <numFmt numFmtId="164" formatCode="d/m"/>
  </numFmts>
  <fonts count="13">
    <font>
      <name val="Arial"/>
      <color rgb="FF000000"/>
      <sz val="10"/>
      <scheme val="minor"/>
    </font>
    <font>
      <name val="Arial"/>
      <color theme="1"/>
      <sz val="10"/>
    </font>
    <font>
      <name val="Arial"/>
      <b val="1"/>
      <color rgb="FF000000"/>
      <sz val="11"/>
    </font>
    <font>
      <name val="Liberation Serif"/>
      <b val="1"/>
      <color rgb="FF000000"/>
      <sz val="11"/>
    </font>
    <font>
      <name val="Arial"/>
      <color theme="1"/>
      <sz val="10"/>
      <scheme val="minor"/>
    </font>
    <font>
      <name val="Arial"/>
      <color theme="1"/>
      <sz val="10"/>
    </font>
    <font>
      <name val="Liberation Serif"/>
      <color theme="1"/>
      <sz val="10"/>
    </font>
    <font>
      <name val="Arial"/>
      <color theme="1"/>
      <sz val="10"/>
      <scheme val="minor"/>
    </font>
    <font>
      <name val="Arial"/>
      <b val="1"/>
      <color theme="1"/>
      <sz val="10"/>
      <scheme val="minor"/>
    </font>
    <font>
      <name val="Aptos Narrow"/>
      <b val="1"/>
      <color theme="1"/>
      <sz val="12"/>
    </font>
    <font>
      <name val="Aptos Narrow"/>
      <color theme="1"/>
      <sz val="12"/>
    </font>
    <font>
      <name val="Arial"/>
      <b val="1"/>
      <color theme="1"/>
      <sz val="12"/>
    </font>
    <font>
      <name val="Arial"/>
      <color theme="1"/>
      <sz val="12"/>
    </font>
  </fonts>
  <fills count="5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2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6" fillId="0" borderId="1" pivotButton="0" quotePrefix="0" xfId="0"/>
    <xf numFmtId="0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4" fillId="0" borderId="0" pivotButton="0" quotePrefix="0" xfId="0"/>
    <xf numFmtId="0" fontId="8" fillId="3" borderId="0" pivotButton="0" quotePrefix="0" xfId="0"/>
    <xf numFmtId="10" fontId="8" fillId="3" borderId="0" pivotButton="0" quotePrefix="0" xfId="0"/>
    <xf numFmtId="0" fontId="9" fillId="4" borderId="2" pivotButton="0" quotePrefix="0" xfId="0"/>
    <xf numFmtId="0" fontId="10" fillId="0" borderId="0" applyAlignment="1" pivotButton="0" quotePrefix="0" xfId="0">
      <alignment horizontal="right"/>
    </xf>
    <xf numFmtId="10" fontId="10" fillId="0" borderId="0" applyAlignment="1" pivotButton="0" quotePrefix="0" xfId="0">
      <alignment horizontal="right"/>
    </xf>
    <xf numFmtId="9" fontId="10" fillId="0" borderId="0" applyAlignment="1" pivotButton="0" quotePrefix="0" xfId="0">
      <alignment horizontal="right"/>
    </xf>
    <xf numFmtId="0" fontId="10" fillId="0" borderId="0" pivotButton="0" quotePrefix="0" xfId="0"/>
    <xf numFmtId="0" fontId="11" fillId="4" borderId="0" pivotButton="0" quotePrefix="0" xfId="0"/>
    <xf numFmtId="0" fontId="11" fillId="0" borderId="0" pivotButton="0" quotePrefix="0" xfId="0"/>
    <xf numFmtId="164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right"/>
    </xf>
    <xf numFmtId="0" fontId="12" fillId="0" borderId="0" pivotButton="0" quotePrefix="0" xfId="0"/>
    <xf numFmtId="0" fontId="7" fillId="0" borderId="0" pivotButton="0" quotePrefix="0" xfId="0"/>
    <xf numFmtId="0" fontId="0" fillId="0" borderId="3" pivotButton="0" quotePrefix="0" xfId="0"/>
    <xf numFmtId="0" fontId="0" fillId="0" borderId="3" pivotButton="1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pivotCacheDefinition" Target="/xl/pivotCache/pivotCacheDefinition1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nandrianina" refreshedDate="46161.58071099537" refreshedVersion="7" recordCount="20" r:id="rId1">
  <cacheSource type="worksheet">
    <worksheetSource ref="B1:K993" sheet="liste des taches"/>
  </cacheSource>
  <cacheFields count="10">
    <cacheField name="Catégorie" uniqueList="1" numFmtId="0" sqlType="0" hierarchy="0" level="0" databaseField="1">
      <sharedItems count="0" containsBlank="1"/>
    </cacheField>
    <cacheField name="Module" uniqueList="1" numFmtId="0" sqlType="0" hierarchy="0" level="0" databaseField="1">
      <sharedItems count="0" containsBlank="1"/>
    </cacheField>
    <cacheField name="Page" uniqueList="1" numFmtId="0" sqlType="0" hierarchy="0" level="0" databaseField="1">
      <sharedItems count="0" containsBlank="1"/>
    </cacheField>
    <cacheField name="Description tâche" uniqueList="1" numFmtId="0" sqlType="0" hierarchy="0" level="0" databaseField="1">
      <sharedItems count="0" containsBlank="1"/>
    </cacheField>
    <cacheField name="Type" uniqueList="1" numFmtId="0" sqlType="0" hierarchy="0" level="0" databaseField="1">
      <sharedItems count="0" containsBlank="1"/>
    </cacheField>
    <cacheField name="Qui" uniqueList="1" numFmtId="0" sqlType="0" hierarchy="0" level="0" databaseField="1">
      <sharedItems count="5" containsBlank="1">
        <s v="ETU00YYYY"/>
        <s v="ETU00XXXX"/>
        <s v="ETU00ZZZZ"/>
        <s v="ETU00WWWW"/>
        <m/>
      </sharedItems>
    </cacheField>
    <cacheField name="Estimation" uniqueList="1" numFmtId="0" sqlType="0" hierarchy="0" level="0" databaseField="1">
      <sharedItems count="0" containsBlank="1" containsInteger="1" containsNumber="1" containsString="0" minValue="5" maxValue="50"/>
    </cacheField>
    <cacheField name="Temps passé" uniqueList="1" numFmtId="0" sqlType="0" hierarchy="0" level="0" databaseField="1">
      <sharedItems count="0" containsBlank="1" containsInteger="1" containsNumber="1" containsString="0" minValue="0" maxValue="90"/>
    </cacheField>
    <cacheField name="Reste à faire" uniqueList="1" numFmtId="0" sqlType="0" hierarchy="0" level="0" databaseField="1">
      <sharedItems count="0" containsBlank="1" containsInteger="1" containsNumber="1" containsString="0" minValue="0" maxValue="40"/>
    </cacheField>
    <cacheField name="Avancement" uniqueList="1" numFmtId="0" sqlType="0" hierarchy="0" level="0" databaseField="1">
      <sharedItems count="0" containsBlank="1" containsNumber="1" containsString="0" minValue="0" maxValue="1"/>
    </cacheField>
  </cacheFields>
</pivotCacheDefinition>
</file>

<file path=xl/pivotCache/pivotCacheRecords1.xml><?xml version="1.0" encoding="utf-8"?>
<pivotCacheRecords xmlns="http://schemas.openxmlformats.org/spreadsheetml/2006/main" count="20">
  <r>
    <s v="Backoffice"/>
    <s v="Gestion Login"/>
    <s v="Index"/>
    <s v="Création html"/>
    <s v="Affichage"/>
    <x v="0"/>
    <n v="30"/>
    <n v="20"/>
    <n v="10"/>
    <n v="0.6666666666666666"/>
  </r>
  <r>
    <s v="Backoffice"/>
    <s v="Gestion Login"/>
    <s v="Index"/>
    <s v="Design css"/>
    <s v="Metier"/>
    <x v="1"/>
    <n v="20"/>
    <n v="0"/>
    <n v="20"/>
    <n v="0"/>
  </r>
  <r>
    <s v="Backoffice"/>
    <s v="Gestion Login"/>
    <s v="Index"/>
    <s v="checkLogin"/>
    <s v="Integration"/>
    <x v="1"/>
    <n v="30"/>
    <n v="10"/>
    <n v="20"/>
    <n v="0.3333333333333333"/>
  </r>
  <r>
    <s v="Backoffice"/>
    <s v="Gestion Categorie"/>
    <s v="Categorie"/>
    <s v="table login"/>
    <s v="Affichage"/>
    <x v="2"/>
    <n v="10"/>
    <n v="0"/>
    <n v="10"/>
    <n v="0"/>
  </r>
  <r>
    <s v="Backoffice"/>
    <s v="Gestion Categorie"/>
    <s v="Categorie"/>
    <s v="données test"/>
    <s v="Metier"/>
    <x v="2"/>
    <n v="50"/>
    <n v="10"/>
    <n v="40"/>
    <n v="0.2"/>
  </r>
  <r>
    <s v="Backoffice"/>
    <s v="Gestion Categorie"/>
    <s v="Categorie"/>
    <s v="Liste"/>
    <s v="Integration"/>
    <x v="3"/>
    <n v="25"/>
    <n v="0"/>
    <n v="25"/>
    <n v="0"/>
  </r>
  <r>
    <s v="Backoffice"/>
    <s v="Gestion Categorie"/>
    <s v="Categorie-add"/>
    <s v="Ajout"/>
    <s v="Affichage"/>
    <x v="0"/>
    <n v="10"/>
    <n v="90"/>
    <n v="0"/>
    <n v="1"/>
  </r>
  <r>
    <s v="Backoffice"/>
    <s v="Gestion Categorie"/>
    <s v="Categorie-add"/>
    <s v="Ajout"/>
    <s v="Metier"/>
    <x v="3"/>
    <n v="5"/>
    <n v="30"/>
    <n v="0"/>
    <n v="1"/>
  </r>
  <r>
    <s v="Backoffice"/>
    <s v="Gestion Categorie"/>
    <s v="Categorie-add"/>
    <s v="Ajout"/>
    <s v="Base"/>
    <x v="3"/>
    <n v="5"/>
    <n v="0"/>
    <n v="5"/>
    <n v="0"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Recap" cacheId="3" dataOnRows="0" dataCaption="" showError="0" showMissing="1" updatedVersion="7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A1:D8" firstHeaderRow="1" firstDataRow="2" firstDataCol="1"/>
  <pivotFields count="10">
    <pivotField name="Catégorie" showDropDowns="1" compact="0" outline="0" subtotalTop="1" dragToRow="1" dragToCol="1" multipleItemSelectionAllowed="1" dragToPage="1" dragToData="1" dragOff="1" showAll="0" topAutoShow="1" itemPageCount="10" sortType="manual" defaultSubtotal="1"/>
    <pivotField name="Module" showDropDowns="1" compact="0" outline="0" subtotalTop="1" dragToRow="1" dragToCol="1" multipleItemSelectionAllowed="1" dragToPage="1" dragToData="1" dragOff="1" showAll="0" topAutoShow="1" itemPageCount="10" sortType="manual" defaultSubtotal="1"/>
    <pivotField name="Page" showDropDowns="1" compact="0" outline="0" subtotalTop="1" dragToRow="1" dragToCol="1" multipleItemSelectionAllowed="1" dragToPage="1" dragToData="1" dragOff="1" showAll="0" topAutoShow="1" itemPageCount="10" sortType="manual" defaultSubtotal="1"/>
    <pivotField name="Description tâche" showDropDowns="1" compact="0" outline="0" subtotalTop="1" dragToRow="1" dragToCol="1" multipleItemSelectionAllowed="1" dragToPage="1" dragToData="1" dragOff="1" showAll="0" topAutoShow="1" itemPageCount="10" sortType="manual" defaultSubtotal="1"/>
    <pivotField name="Type" showDropDowns="1" compact="0" outline="0" subtotalTop="1" dragToRow="1" dragToCol="1" multipleItemSelectionAllowed="1" dragToPage="1" dragToData="1" dragOff="1" showAll="0" topAutoShow="1" itemPageCount="10" sortType="manual" defaultSubtotal="1"/>
    <pivotField name="Qui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6">
        <item t="data" sd="1" x="3"/>
        <item t="data" sd="1" x="1"/>
        <item t="data" sd="1" x="0"/>
        <item t="data" sd="1" x="2"/>
        <item t="data" sd="1" x="4"/>
        <item t="default" sd="1"/>
      </items>
    </pivotField>
    <pivotField name="Estimation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Temps passé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Reste à faire" dataField="1" showDropDowns="1" compact="0" outline="0" subtotalTop="1" dragToRow="1" dragToCol="1" multipleItemSelectionAllowed="1" dragToPage="1" dragToData="1" dragOff="1" showAll="0" topAutoShow="1" itemPageCount="10" sortType="manual" defaultSubtotal="1"/>
    <pivotField name="Avancement" showDropDowns="1" compact="0" numFmtId="10" outline="0" subtotalTop="1" dragToRow="1" dragToCol="1" multipleItemSelectionAllowed="1" dragToPage="1" dragToData="1" dragOff="1" showAll="0" topAutoShow="1" itemPageCount="10" sortType="manual" defaultSubtotal="1"/>
  </pivotFields>
  <rowFields count="1">
    <field x="5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-2"/>
  </colFields>
  <colItems count="3">
    <i t="data" r="0" i="0">
      <x v="0"/>
    </i>
    <i t="data" r="0" i="1">
      <x v="1"/>
    </i>
    <i t="data" r="0" i="2">
      <x v="2"/>
    </i>
  </colItems>
  <dataFields count="3">
    <dataField name="SUM of Estimation" fld="6" subtotal="sum" showDataAs="normal" baseField="0" baseItem="1048832"/>
    <dataField name="SUM of Temps passé" fld="7" subtotal="sum" showDataAs="normal" baseField="0" baseItem="1048832"/>
    <dataField name="SUM of Reste à faire" fld="8" subtotal="sum" showDataAs="normal" baseField="0" baseItem="1048832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4"/>
  <sheetViews>
    <sheetView workbookViewId="0">
      <selection activeCell="A1" sqref="A1"/>
    </sheetView>
  </sheetViews>
  <sheetFormatPr baseColWidth="10" defaultColWidth="12.6640625" defaultRowHeight="15.75" customHeight="1"/>
  <sheetData>
    <row r="1">
      <c r="A1" s="1" t="inlineStr">
        <is>
          <t>ETU00XXXX</t>
        </is>
      </c>
      <c r="B1" s="1" t="inlineStr">
        <is>
          <t>A</t>
        </is>
      </c>
    </row>
    <row r="2">
      <c r="A2" s="1" t="inlineStr">
        <is>
          <t>ETU00YYYY</t>
        </is>
      </c>
      <c r="B2" s="1" t="inlineStr">
        <is>
          <t>B</t>
        </is>
      </c>
    </row>
    <row r="3">
      <c r="A3" s="1" t="inlineStr">
        <is>
          <t>ETU00ZZZZ</t>
        </is>
      </c>
      <c r="B3" s="1" t="inlineStr">
        <is>
          <t>C</t>
        </is>
      </c>
    </row>
    <row r="4">
      <c r="A4" s="1" t="inlineStr">
        <is>
          <t>ETU00WWWW</t>
        </is>
      </c>
      <c r="B4" s="1" t="inlineStr">
        <is>
          <t>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20"/>
  <sheetViews>
    <sheetView workbookViewId="0">
      <selection activeCell="A1" sqref="A1"/>
    </sheetView>
  </sheetViews>
  <sheetFormatPr baseColWidth="10" defaultColWidth="12.6640625" defaultRowHeight="15.75" customHeight="1"/>
  <cols>
    <col width="5.88671875" customWidth="1" min="1" max="1"/>
    <col width="19" customWidth="1" min="2" max="2"/>
    <col width="18" customWidth="1" min="3" max="3"/>
    <col width="16.33203125" customWidth="1" min="5" max="5"/>
  </cols>
  <sheetData>
    <row r="1">
      <c r="A1" s="2" t="inlineStr">
        <is>
          <t>Ligne</t>
        </is>
      </c>
      <c r="B1" s="3" t="inlineStr">
        <is>
          <t>Catégorie</t>
        </is>
      </c>
      <c r="C1" s="3" t="inlineStr">
        <is>
          <t>Module</t>
        </is>
      </c>
      <c r="D1" s="3" t="inlineStr">
        <is>
          <t>Page</t>
        </is>
      </c>
      <c r="E1" s="3" t="inlineStr">
        <is>
          <t>Description tâche</t>
        </is>
      </c>
      <c r="F1" s="4" t="inlineStr">
        <is>
          <t>Type</t>
        </is>
      </c>
      <c r="G1" s="4" t="inlineStr">
        <is>
          <t>Qui</t>
        </is>
      </c>
      <c r="H1" s="4" t="inlineStr">
        <is>
          <t>Estimation</t>
        </is>
      </c>
      <c r="I1" s="4" t="inlineStr">
        <is>
          <t>Temps passé</t>
        </is>
      </c>
      <c r="J1" s="4" t="inlineStr">
        <is>
          <t>Reste à faire</t>
        </is>
      </c>
      <c r="K1" s="4" t="inlineStr">
        <is>
          <t>Avancement</t>
        </is>
      </c>
    </row>
    <row r="2">
      <c r="A2" s="5" t="n">
        <v>1</v>
      </c>
      <c r="B2" s="5" t="inlineStr">
        <is>
          <t>Backoffice</t>
        </is>
      </c>
      <c r="C2" s="7" t="inlineStr">
        <is>
          <t>Gestion Login</t>
        </is>
      </c>
      <c r="D2" s="7" t="inlineStr">
        <is>
          <t>Index</t>
        </is>
      </c>
      <c r="E2" s="9" t="inlineStr">
        <is>
          <t>Création html</t>
        </is>
      </c>
      <c r="F2" s="9" t="inlineStr">
        <is>
          <t>Affichage</t>
        </is>
      </c>
      <c r="G2" s="7" t="inlineStr">
        <is>
          <t>ETU00YYYY</t>
        </is>
      </c>
      <c r="H2" s="7" t="n">
        <v>30</v>
      </c>
      <c r="I2" s="12">
        <f>detail_avancement!B2</f>
        <v/>
      </c>
      <c r="J2" s="12">
        <f>H2-I2</f>
        <v/>
      </c>
      <c r="K2" s="11">
        <f>(I2/(I2+J2))</f>
        <v/>
      </c>
    </row>
    <row r="3">
      <c r="A3" s="5" t="n">
        <v>2</v>
      </c>
      <c r="B3" s="5" t="inlineStr">
        <is>
          <t>Backoffice</t>
        </is>
      </c>
      <c r="C3" s="9" t="inlineStr">
        <is>
          <t>Gestion Login</t>
        </is>
      </c>
      <c r="D3" s="7" t="inlineStr">
        <is>
          <t>Index</t>
        </is>
      </c>
      <c r="E3" s="9" t="inlineStr">
        <is>
          <t>Design css</t>
        </is>
      </c>
      <c r="F3" s="9" t="inlineStr">
        <is>
          <t>Metier</t>
        </is>
      </c>
      <c r="G3" s="7" t="inlineStr">
        <is>
          <t>ETU00XXXX</t>
        </is>
      </c>
      <c r="H3" s="7" t="n">
        <v>20</v>
      </c>
      <c r="I3" s="12">
        <f>detail_avancement!B3</f>
        <v/>
      </c>
      <c r="J3" s="12">
        <f>H3-I3</f>
        <v/>
      </c>
      <c r="K3" s="11">
        <f>(I3/(I3+J3))</f>
        <v/>
      </c>
    </row>
    <row r="4">
      <c r="A4" s="5" t="n">
        <v>3</v>
      </c>
      <c r="B4" s="5" t="inlineStr">
        <is>
          <t>Backoffice</t>
        </is>
      </c>
      <c r="C4" s="9" t="inlineStr">
        <is>
          <t>Gestion Login</t>
        </is>
      </c>
      <c r="D4" s="7" t="inlineStr">
        <is>
          <t>Index</t>
        </is>
      </c>
      <c r="E4" s="9" t="inlineStr">
        <is>
          <t>checkLogin</t>
        </is>
      </c>
      <c r="F4" s="9" t="inlineStr">
        <is>
          <t>Integration</t>
        </is>
      </c>
      <c r="G4" s="7" t="inlineStr">
        <is>
          <t>ETU00XXXX</t>
        </is>
      </c>
      <c r="H4" s="7" t="n">
        <v>30</v>
      </c>
      <c r="I4" s="12">
        <f>detail_avancement!B4</f>
        <v/>
      </c>
      <c r="J4" s="12">
        <f>H4-I4</f>
        <v/>
      </c>
      <c r="K4" s="11">
        <f>(I4/(I4+J4))</f>
        <v/>
      </c>
    </row>
    <row r="5">
      <c r="A5" s="5" t="n">
        <v>4</v>
      </c>
      <c r="B5" s="5" t="inlineStr">
        <is>
          <t>Backoffice</t>
        </is>
      </c>
      <c r="C5" s="9" t="inlineStr">
        <is>
          <t>Gestion Categorie</t>
        </is>
      </c>
      <c r="D5" s="7" t="inlineStr">
        <is>
          <t>Categorie</t>
        </is>
      </c>
      <c r="E5" s="9" t="inlineStr">
        <is>
          <t>table login</t>
        </is>
      </c>
      <c r="F5" s="9" t="inlineStr">
        <is>
          <t>Affichage</t>
        </is>
      </c>
      <c r="G5" s="7" t="inlineStr">
        <is>
          <t>ETU00ZZZZ</t>
        </is>
      </c>
      <c r="H5" s="7" t="n">
        <v>10</v>
      </c>
      <c r="I5" s="12">
        <f>detail_avancement!B5</f>
        <v/>
      </c>
      <c r="J5" s="12">
        <f>H5-I5</f>
        <v/>
      </c>
      <c r="K5" s="11">
        <f>(I5/(I5+J5))</f>
        <v/>
      </c>
    </row>
    <row r="6">
      <c r="A6" s="5" t="n">
        <v>5</v>
      </c>
      <c r="B6" s="5" t="inlineStr">
        <is>
          <t>Backoffice</t>
        </is>
      </c>
      <c r="C6" s="9" t="inlineStr">
        <is>
          <t>Gestion Categorie</t>
        </is>
      </c>
      <c r="D6" s="7" t="inlineStr">
        <is>
          <t>Categorie</t>
        </is>
      </c>
      <c r="E6" s="9" t="inlineStr">
        <is>
          <t>données test</t>
        </is>
      </c>
      <c r="F6" s="9" t="inlineStr">
        <is>
          <t>Metier</t>
        </is>
      </c>
      <c r="G6" s="7" t="inlineStr">
        <is>
          <t>ETU00ZZZZ</t>
        </is>
      </c>
      <c r="H6" s="7" t="n">
        <v>50</v>
      </c>
      <c r="I6" s="12">
        <f>detail_avancement!B6</f>
        <v/>
      </c>
      <c r="J6" s="12">
        <f>H6-I6</f>
        <v/>
      </c>
      <c r="K6" s="11">
        <f>(I6/(I6+J6))</f>
        <v/>
      </c>
    </row>
    <row r="7">
      <c r="A7" s="5" t="n">
        <v>6</v>
      </c>
      <c r="B7" s="5" t="inlineStr">
        <is>
          <t>Backoffice</t>
        </is>
      </c>
      <c r="C7" s="9" t="inlineStr">
        <is>
          <t>Gestion Categorie</t>
        </is>
      </c>
      <c r="D7" s="7" t="inlineStr">
        <is>
          <t>Categorie</t>
        </is>
      </c>
      <c r="E7" s="9" t="inlineStr">
        <is>
          <t>Liste</t>
        </is>
      </c>
      <c r="F7" s="9" t="inlineStr">
        <is>
          <t>Integration</t>
        </is>
      </c>
      <c r="G7" s="7" t="inlineStr">
        <is>
          <t>ETU00WWWW</t>
        </is>
      </c>
      <c r="H7" s="7" t="n">
        <v>25</v>
      </c>
      <c r="I7" s="12">
        <f>detail_avancement!B7</f>
        <v/>
      </c>
      <c r="J7" s="12">
        <f>H7-I7</f>
        <v/>
      </c>
      <c r="K7" s="11">
        <f>(I7/(I7+J7))</f>
        <v/>
      </c>
    </row>
    <row r="8">
      <c r="A8" s="5" t="n">
        <v>7</v>
      </c>
      <c r="B8" s="5" t="inlineStr">
        <is>
          <t>Backoffice</t>
        </is>
      </c>
      <c r="C8" s="9" t="inlineStr">
        <is>
          <t>Gestion Categorie</t>
        </is>
      </c>
      <c r="D8" s="7" t="inlineStr">
        <is>
          <t>Categorie-add</t>
        </is>
      </c>
      <c r="E8" s="9" t="inlineStr">
        <is>
          <t>Ajout</t>
        </is>
      </c>
      <c r="F8" s="9" t="inlineStr">
        <is>
          <t>Affichage</t>
        </is>
      </c>
      <c r="G8" s="7" t="inlineStr">
        <is>
          <t>ETU00YYYY</t>
        </is>
      </c>
      <c r="H8" s="7" t="n">
        <v>10</v>
      </c>
      <c r="I8" s="12">
        <f>detail_avancement!B8</f>
        <v/>
      </c>
      <c r="J8" s="12" t="n">
        <v>0</v>
      </c>
      <c r="K8" s="11">
        <f>(I8/(I8+J8))</f>
        <v/>
      </c>
    </row>
    <row r="9">
      <c r="A9" s="5" t="n">
        <v>8</v>
      </c>
      <c r="B9" s="5" t="inlineStr">
        <is>
          <t>Backoffice</t>
        </is>
      </c>
      <c r="C9" s="9" t="inlineStr">
        <is>
          <t>Gestion Categorie</t>
        </is>
      </c>
      <c r="D9" s="7" t="inlineStr">
        <is>
          <t>Categorie-add</t>
        </is>
      </c>
      <c r="E9" s="9" t="inlineStr">
        <is>
          <t>Ajout</t>
        </is>
      </c>
      <c r="F9" s="9" t="inlineStr">
        <is>
          <t>Metier</t>
        </is>
      </c>
      <c r="G9" s="7" t="inlineStr">
        <is>
          <t>ETU00WWWW</t>
        </is>
      </c>
      <c r="H9" s="7" t="n">
        <v>5</v>
      </c>
      <c r="I9" s="12">
        <f>detail_avancement!B9</f>
        <v/>
      </c>
      <c r="J9" s="12" t="n">
        <v>0</v>
      </c>
      <c r="K9" s="11">
        <f>(I9/(I9+J9))</f>
        <v/>
      </c>
    </row>
    <row r="10">
      <c r="A10" s="5" t="n">
        <v>9</v>
      </c>
      <c r="B10" s="5" t="inlineStr">
        <is>
          <t>Backoffice</t>
        </is>
      </c>
      <c r="C10" s="9" t="inlineStr">
        <is>
          <t>Gestion Categorie</t>
        </is>
      </c>
      <c r="D10" s="7" t="inlineStr">
        <is>
          <t>Categorie-add</t>
        </is>
      </c>
      <c r="E10" s="9" t="inlineStr">
        <is>
          <t>Ajout</t>
        </is>
      </c>
      <c r="F10" s="7" t="inlineStr">
        <is>
          <t>Base</t>
        </is>
      </c>
      <c r="G10" s="7" t="inlineStr">
        <is>
          <t>ETU00WWWW</t>
        </is>
      </c>
      <c r="H10" s="7" t="n">
        <v>5</v>
      </c>
      <c r="I10" s="12">
        <f>detail_avancement!B10</f>
        <v/>
      </c>
      <c r="J10" s="12">
        <f>H10-I10</f>
        <v/>
      </c>
      <c r="K10" s="11">
        <f>(I10/(I10+J10))</f>
        <v/>
      </c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12"/>
  <sheetViews>
    <sheetView showGridLines="0" tabSelected="1" workbookViewId="0">
      <selection activeCell="A1" sqref="A1"/>
    </sheetView>
  </sheetViews>
  <sheetFormatPr baseColWidth="10" defaultColWidth="12.6640625" defaultRowHeight="15.75" customHeight="1"/>
  <sheetData>
    <row r="1">
      <c r="A1" s="33" t="n"/>
      <c r="B1" s="28" t="inlineStr"/>
      <c r="C1" s="29" t="n"/>
      <c r="D1" s="30" t="n"/>
    </row>
    <row r="2">
      <c r="A2" s="28" t="inlineStr">
        <is>
          <t>Qui</t>
        </is>
      </c>
      <c r="B2" s="33" t="inlineStr">
        <is>
          <t>SUM of Estimation</t>
        </is>
      </c>
      <c r="C2" s="34" t="inlineStr">
        <is>
          <t>SUM of Temps passé</t>
        </is>
      </c>
      <c r="D2" s="35" t="inlineStr">
        <is>
          <t>SUM of Reste à faire</t>
        </is>
      </c>
    </row>
    <row r="3">
      <c r="A3" s="33" t="inlineStr">
        <is>
          <t>ETU00WWWW</t>
        </is>
      </c>
      <c r="B3" s="33" t="n">
        <v>35</v>
      </c>
      <c r="C3" s="34" t="n">
        <v>30</v>
      </c>
      <c r="D3" s="35" t="n">
        <v>30</v>
      </c>
    </row>
    <row r="4">
      <c r="A4" s="37" t="inlineStr">
        <is>
          <t>ETU00XXXX</t>
        </is>
      </c>
      <c r="B4" s="37" t="n">
        <v>50</v>
      </c>
      <c r="C4" s="38" t="n">
        <v>10</v>
      </c>
      <c r="D4" s="39" t="n">
        <v>40</v>
      </c>
    </row>
    <row r="5">
      <c r="A5" s="37" t="inlineStr">
        <is>
          <t>ETU00YYYY</t>
        </is>
      </c>
      <c r="B5" s="37" t="n">
        <v>40</v>
      </c>
      <c r="C5" s="38" t="n">
        <v>110</v>
      </c>
      <c r="D5" s="39" t="n">
        <v>10</v>
      </c>
    </row>
    <row r="6">
      <c r="A6" s="37" t="inlineStr">
        <is>
          <t>ETU00ZZZZ</t>
        </is>
      </c>
      <c r="B6" s="37" t="n">
        <v>60</v>
      </c>
      <c r="C6" s="38" t="n">
        <v>10</v>
      </c>
      <c r="D6" s="39" t="n">
        <v>50</v>
      </c>
    </row>
    <row r="7">
      <c r="A7" s="37" t="inlineStr">
        <is>
          <t>(vide)</t>
        </is>
      </c>
      <c r="B7" s="37" t="n"/>
      <c r="C7" s="38" t="n"/>
      <c r="D7" s="39" t="n"/>
    </row>
    <row r="8" ht="15.75" customHeight="1">
      <c r="A8" s="41" t="inlineStr">
        <is>
          <t>Total général</t>
        </is>
      </c>
      <c r="B8" s="41" t="n">
        <v>185</v>
      </c>
      <c r="C8" s="42" t="n">
        <v>160</v>
      </c>
      <c r="D8" s="43" t="n">
        <v>130</v>
      </c>
    </row>
    <row r="12">
      <c r="A12" s="14" t="inlineStr">
        <is>
          <t>Avancement</t>
        </is>
      </c>
      <c r="B12" s="15">
        <f>avancement!D2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E3"/>
  <sheetViews>
    <sheetView topLeftCell="A10" workbookViewId="0">
      <selection activeCell="A1" sqref="A1"/>
    </sheetView>
  </sheetViews>
  <sheetFormatPr baseColWidth="10" defaultColWidth="12.6640625" defaultRowHeight="15.75" customHeight="1"/>
  <cols>
    <col width="15.77734375" customWidth="1" min="1" max="1"/>
    <col width="17.88671875" customWidth="1" min="2" max="2"/>
    <col width="17" customWidth="1" min="3" max="3"/>
    <col width="18.21875" customWidth="1" min="4" max="4"/>
    <col width="13.77734375" customWidth="1" min="5" max="5"/>
  </cols>
  <sheetData>
    <row r="1" ht="15.75" customHeight="1">
      <c r="A1" s="16" t="inlineStr">
        <is>
          <t>estimation total</t>
        </is>
      </c>
      <c r="B1" s="16" t="inlineStr">
        <is>
          <t>temps passé total</t>
        </is>
      </c>
      <c r="C1" s="16" t="inlineStr">
        <is>
          <t>reste à faire total</t>
        </is>
      </c>
      <c r="D1" s="16" t="inlineStr">
        <is>
          <t>avancement</t>
        </is>
      </c>
      <c r="E1" s="16" t="inlineStr">
        <is>
          <t>dépassement</t>
        </is>
      </c>
    </row>
    <row r="2">
      <c r="A2" s="17">
        <f>SUM('liste des taches'!H:H)</f>
        <v/>
      </c>
      <c r="B2" s="17">
        <f>SUM('liste des taches'!I:I)</f>
        <v/>
      </c>
      <c r="C2" s="17">
        <f>SUM('liste des taches'!J:J)</f>
        <v/>
      </c>
      <c r="D2" s="18">
        <f>(B2/(B2+C2))</f>
        <v/>
      </c>
      <c r="E2" s="19">
        <f>((B2+C2)-A2)/A2</f>
        <v/>
      </c>
    </row>
    <row r="3">
      <c r="A3" s="20" t="n"/>
      <c r="B3" s="20" t="n"/>
      <c r="C3" s="17">
        <f>C2/60</f>
        <v/>
      </c>
      <c r="D3" s="20" t="inlineStr">
        <is>
          <t>heure</t>
        </is>
      </c>
      <c r="E3" s="20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E10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>
      <c r="A1" s="21" t="inlineStr">
        <is>
          <t>Ligne</t>
        </is>
      </c>
      <c r="B1" s="22" t="inlineStr">
        <is>
          <t>Total</t>
        </is>
      </c>
      <c r="C1" s="23" t="n">
        <v>46048</v>
      </c>
      <c r="D1" s="23" t="n">
        <v>46049</v>
      </c>
      <c r="E1" s="23" t="n">
        <v>46050</v>
      </c>
    </row>
    <row r="2">
      <c r="A2" s="24" t="n">
        <v>1</v>
      </c>
      <c r="B2" s="17">
        <f>SUM(D2:P2)</f>
        <v/>
      </c>
      <c r="C2" s="20" t="n"/>
      <c r="D2" s="24" t="n">
        <v>20</v>
      </c>
      <c r="E2" s="20" t="n"/>
    </row>
    <row r="3">
      <c r="A3" s="24" t="n">
        <v>2</v>
      </c>
      <c r="B3" s="17">
        <f>SUM(D3:P3)</f>
        <v/>
      </c>
      <c r="C3" s="20" t="n"/>
      <c r="D3" s="20" t="n"/>
      <c r="E3" s="20" t="n"/>
    </row>
    <row r="4">
      <c r="A4" s="24" t="n">
        <v>3</v>
      </c>
      <c r="B4" s="17">
        <f>SUM(D4:P4)</f>
        <v/>
      </c>
      <c r="C4" s="24" t="n">
        <v>20</v>
      </c>
      <c r="D4" s="24" t="n">
        <v>10</v>
      </c>
      <c r="E4" s="20" t="n"/>
    </row>
    <row r="5">
      <c r="A5" s="24" t="n">
        <v>4</v>
      </c>
      <c r="B5" s="17">
        <f>SUM(D5:P5)</f>
        <v/>
      </c>
      <c r="C5" s="20" t="n"/>
      <c r="D5" s="20" t="n"/>
      <c r="E5" s="20" t="n"/>
    </row>
    <row r="6">
      <c r="A6" s="24" t="n">
        <v>5</v>
      </c>
      <c r="B6" s="17">
        <f>SUM(D6:P6)</f>
        <v/>
      </c>
      <c r="C6" s="20" t="n"/>
      <c r="D6" s="25" t="n">
        <v>10</v>
      </c>
      <c r="E6" s="20" t="n"/>
    </row>
    <row r="7">
      <c r="A7" s="24" t="n">
        <v>6</v>
      </c>
      <c r="B7" s="17">
        <f>SUM(D7:P7)</f>
        <v/>
      </c>
      <c r="C7" s="20" t="n"/>
      <c r="D7" s="20" t="n"/>
      <c r="E7" s="20" t="n"/>
    </row>
    <row r="8">
      <c r="A8" s="24" t="n">
        <v>7</v>
      </c>
      <c r="B8" s="17">
        <f>SUM(D8:P8)</f>
        <v/>
      </c>
      <c r="C8" s="20" t="n"/>
      <c r="D8" s="25" t="n">
        <v>90</v>
      </c>
      <c r="E8" s="20" t="n"/>
    </row>
    <row r="9">
      <c r="A9" s="26" t="n">
        <v>8</v>
      </c>
      <c r="B9" s="17">
        <f>SUM(D9:P9)</f>
        <v/>
      </c>
      <c r="D9" s="26" t="n">
        <v>30</v>
      </c>
    </row>
    <row r="10">
      <c r="A10" s="26" t="n">
        <v>9</v>
      </c>
      <c r="B10" s="17">
        <f>SUM(D10:P10)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5" customWidth="1" min="1" max="1"/>
    <col width="54" customWidth="1" min="2" max="2"/>
    <col width="15" customWidth="1" min="3" max="3"/>
  </cols>
  <sheetData>
    <row r="1">
      <c r="A1" t="inlineStr">
        <is>
          <t>ID</t>
        </is>
      </c>
      <c r="B1" t="inlineStr">
        <is>
          <t>Tâche</t>
        </is>
      </c>
      <c r="C1" t="inlineStr">
        <is>
          <t>Statut</t>
        </is>
      </c>
    </row>
    <row r="2">
      <c r="A2" t="n">
        <v>1</v>
      </c>
      <c r="B2" t="inlineStr">
        <is>
          <t>ETU3314 — Checklist sujet &amp; vérif finale</t>
        </is>
      </c>
      <c r="C2" t="inlineStr">
        <is>
          <t>completed</t>
        </is>
      </c>
    </row>
    <row r="3">
      <c r="A3" t="n">
        <v>2</v>
      </c>
      <c r="B3" t="inlineStr">
        <is>
          <t>Protéger Backoffice (login/MDP)</t>
        </is>
      </c>
      <c r="C3" t="inlineStr">
        <is>
          <t>completed</t>
        </is>
      </c>
    </row>
    <row r="4">
      <c r="A4" t="n">
        <v>3</v>
      </c>
      <c r="B4" t="inlineStr">
        <is>
          <t>Bouton Réinitialiser données (Reset)</t>
        </is>
      </c>
      <c r="C4" t="inlineStr">
        <is>
          <t>completed</t>
        </is>
      </c>
    </row>
    <row r="5">
      <c r="A5" t="n">
        <v>4</v>
      </c>
      <c r="B5" t="inlineStr">
        <is>
          <t>Page Import (3 CSV + ZIP images)</t>
        </is>
      </c>
      <c r="C5" t="inlineStr">
        <is>
          <t>completed</t>
        </is>
      </c>
    </row>
    <row r="6">
      <c r="A6" t="n">
        <v>5</v>
      </c>
      <c r="B6" t="inlineStr">
        <is>
          <t>Validation import (colonnes/date/montants)</t>
        </is>
      </c>
      <c r="C6" t="inlineStr">
        <is>
          <t>completed</t>
        </is>
      </c>
    </row>
    <row r="7">
      <c r="A7" t="n">
        <v>6</v>
      </c>
      <c r="B7" t="inlineStr">
        <is>
          <t>Page Commandes (afficher + changer état)</t>
        </is>
      </c>
      <c r="C7" t="inlineStr">
        <is>
          <t>completed</t>
        </is>
      </c>
    </row>
    <row r="8">
      <c r="A8" t="n">
        <v>7</v>
      </c>
      <c r="B8" t="inlineStr">
        <is>
          <t>Boutons Livrer / Annuler (Commandes)</t>
        </is>
      </c>
      <c r="C8" t="inlineStr">
        <is>
          <t>completed</t>
        </is>
      </c>
    </row>
    <row r="9">
      <c r="A9" t="n">
        <v>8</v>
      </c>
      <c r="B9" t="inlineStr">
        <is>
          <t>Page Tableau de bord (par jour + total)</t>
        </is>
      </c>
      <c r="C9" t="inlineStr">
        <is>
          <t>completed</t>
        </is>
      </c>
    </row>
    <row r="10">
      <c r="A10" t="n">
        <v>9</v>
      </c>
      <c r="B10" t="inlineStr">
        <is>
          <t>Page Statistiques (Ventes HT, Achats HT, Bénéfice)</t>
        </is>
      </c>
      <c r="C10" t="inlineStr">
        <is>
          <t>completed</t>
        </is>
      </c>
    </row>
    <row r="11">
      <c r="A11" t="n">
        <v>10</v>
      </c>
      <c r="B11" t="inlineStr">
        <is>
          <t>Tableau stock par catégorie (physique/réservé/dispo)</t>
        </is>
      </c>
      <c r="C11" t="inlineStr">
        <is>
          <t>completed</t>
        </is>
      </c>
    </row>
    <row r="12">
      <c r="A12" t="n">
        <v>11</v>
      </c>
      <c r="B12" t="inlineStr">
        <is>
          <t>Page Gestion Stock + évolution journalière</t>
        </is>
      </c>
      <c r="C12" t="inlineStr">
        <is>
          <t>completed</t>
        </is>
      </c>
    </row>
    <row r="13">
      <c r="A13" t="n">
        <v>12</v>
      </c>
      <c r="B13" t="inlineStr">
        <is>
          <t>Afficher qtés produit sur fiche produit</t>
        </is>
      </c>
      <c r="C13" t="inlineStr">
        <is>
          <t>completed</t>
        </is>
      </c>
    </row>
    <row r="14">
      <c r="A14" t="n">
        <v>13</v>
      </c>
      <c r="B14" t="inlineStr">
        <is>
          <t>Front: page accueil + fiche produit</t>
        </is>
      </c>
      <c r="C14" t="inlineStr">
        <is>
          <t>completed</t>
        </is>
      </c>
    </row>
    <row r="15">
      <c r="A15" t="n">
        <v>14</v>
      </c>
      <c r="B15" t="inlineStr">
        <is>
          <t>Front: gestion panier &amp; checkout (COD)</t>
        </is>
      </c>
      <c r="C15" t="inlineStr">
        <is>
          <t>completed</t>
        </is>
      </c>
    </row>
    <row r="16">
      <c r="A16" t="n">
        <v>15</v>
      </c>
      <c r="B16" t="inlineStr">
        <is>
          <t>Front: Mes Commandes + états</t>
        </is>
      </c>
      <c r="C16" t="inlineStr">
        <is>
          <t>completed</t>
        </is>
      </c>
    </row>
    <row r="17">
      <c r="A17" t="n">
        <v>16</v>
      </c>
      <c r="B17" t="inlineStr">
        <is>
          <t>Recherche multicritère (nom/catégorie/prix)</t>
        </is>
      </c>
      <c r="C17" t="inlineStr">
        <is>
          <t>completed</t>
        </is>
      </c>
    </row>
    <row r="18">
      <c r="A18" t="n">
        <v>17</v>
      </c>
      <c r="B18" t="inlineStr">
        <is>
          <t>Badges HOT / NEW (logic)</t>
        </is>
      </c>
      <c r="C18" t="inlineStr">
        <is>
          <t>completed</t>
        </is>
      </c>
    </row>
    <row r="19">
      <c r="A19" t="n">
        <v>18</v>
      </c>
      <c r="B19" t="inlineStr">
        <is>
          <t>Créer module PrestaShop `mon_module` (shiporder)</t>
        </is>
      </c>
      <c r="C19" t="inlineStr">
        <is>
          <t>completed</t>
        </is>
      </c>
    </row>
    <row r="20">
      <c r="A20" t="n">
        <v>19</v>
      </c>
      <c r="B20" t="inlineStr">
        <is>
          <t>Fichier d'aide `docs/aide.md` (import modifs)</t>
        </is>
      </c>
      <c r="C20" t="inlineStr">
        <is>
          <t>completed</t>
        </is>
      </c>
    </row>
    <row r="21">
      <c r="A21" t="n">
        <v>20</v>
      </c>
      <c r="B21" t="inlineStr">
        <is>
          <t>Vérifier totaux commandes (cohérence)</t>
        </is>
      </c>
      <c r="C21" t="inlineStr">
        <is>
          <t>not-started</t>
        </is>
      </c>
    </row>
    <row r="22">
      <c r="A22" t="n">
        <v>21</v>
      </c>
      <c r="B22" t="inlineStr">
        <is>
          <t>Rapport commandes affectées (totaux mismatches)</t>
        </is>
      </c>
      <c r="C22" t="inlineStr">
        <is>
          <t>not-started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2026-05-19T11:14:05Z</dcterms:created>
  <dcterms:modified xmlns:dcterms="http://purl.org/dc/terms/" xmlns:xsi="http://www.w3.org/2001/XMLSchema-instance" xsi:type="dcterms:W3CDTF">2026-05-19T11:14:05Z</dcterms:modified>
  <cp:lastModifiedBy>nandrianina</cp:lastModifiedBy>
</cp:coreProperties>
</file>